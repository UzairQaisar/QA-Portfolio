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<sst xmlns="http://schemas.openxmlformats.org/spreadsheetml/2006/main" count="24" uniqueCount="24">
  <si>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Module</t>
  </si>
  <si>
    <t>LOC</t>
  </si>
  <si>
    <t>Tested LOC</t>
  </si>
  <si>
    <t>Defects Found</t>
  </si>
  <si>
    <t>Failures Observed</t>
  </si>
  <si>
    <t>Operation Hours</t>
  </si>
  <si>
    <t>Bugs Injected</t>
  </si>
  <si>
    <t>Bugs Removed</t>
  </si>
  <si>
    <t>Backlog Items</t>
  </si>
  <si>
    <t>Fixes Delivered</t>
  </si>
  <si>
    <t>Late Fixes</t>
  </si>
  <si>
    <t>Defect Density</t>
  </si>
  <si>
    <t>Mean Time To Failure (MTTF)</t>
  </si>
  <si>
    <t>Test Coverage (TC)</t>
  </si>
  <si>
    <t>Defect Removal Effectiveness (DRE)</t>
  </si>
  <si>
    <t>Backlog Management Index (BMI)</t>
  </si>
  <si>
    <t>Percent Delinquent Fixes (PDF)</t>
  </si>
  <si>
    <t>Authentication</t>
  </si>
  <si>
    <t>Transactions</t>
  </si>
  <si>
    <t>Expense Tracking</t>
  </si>
  <si>
    <t>Savings Goals</t>
  </si>
  <si>
    <t>Investments</t>
  </si>
  <si>
    <t>Dashboard &amp; Reports</t>
  </si>
  <si>
    <t>Software Quality Metrics Dashboard – Personal Finance Tracker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</si>
</sst>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b/>
      <sz val="17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Defect Density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Defect Density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val>
            <c:numRef>
              <c:f>Sheet1!$M$2:$M$7</c:f>
              <c:numCache>
                <c:formatCode>0.00</c:formatCode>
                <c:ptCount val="6"/>
                <c:pt idx="0">
                  <c:v>13.3333333333333</c:v>
                </c:pt>
                <c:pt idx="1">
                  <c:v>13.3333333333333</c:v>
                </c:pt>
                <c:pt idx="2">
                  <c:v>13.6363636363636</c:v>
                </c:pt>
                <c:pt idx="3">
                  <c:v>13</c:v>
                </c:pt>
                <c:pt idx="4">
                  <c:v>12.5</c:v>
                </c:pt>
                <c:pt idx="5">
                  <c:v>11.6666666666667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75474"/>
        <c:axId val="495238473"/>
      </c:barChart>
      <c:catAx>
        <c:axId val="1558675474"/>
        <c:scaling>
          <c:orientation val="maxMin"/>
        </c:scaling>
        <c:delete val="0"/>
        <c:axPos val="l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5238473"/>
        <c:crosses val="autoZero"/>
        <c:auto val="1"/>
        <c:lblAlgn val="ctr"/>
        <c:lblOffset val="100"/>
        <c:noMultiLvlLbl val="0"/>
      </c:catAx>
      <c:valAx>
        <c:axId val="49523847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Defect Density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58675474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cf22f6-dc8f-49f1-baab-bda53dd8aa7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Coverage (TC)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Sheet1!$O$1</c:f>
              <c:strCache>
                <c:ptCount val="1"/>
                <c:pt idx="0">
                  <c:v>Test Coverage (TC)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Pt>
            <c:idx val="5"/>
            <c:bubble3D val="0"/>
            <c:spPr>
              <a:solidFill>
                <a:srgbClr val="46BDC6"/>
              </a:solidFill>
            </c:spPr>
          </c:dPt>
          <c:dLbls>
            <c:delete val="1"/>
          </c:dLbls>
          <c:val>
            <c:numRef>
              <c:f>Sheet1!$O$2:$O$7</c:f>
              <c:numCache>
                <c:formatCode>0.00</c:formatCode>
                <c:ptCount val="6"/>
                <c:pt idx="0">
                  <c:v>3750</c:v>
                </c:pt>
                <c:pt idx="1">
                  <c:v>3000</c:v>
                </c:pt>
                <c:pt idx="2">
                  <c:v>3333.33333333333</c:v>
                </c:pt>
                <c:pt idx="3">
                  <c:v>3692.30769230769</c:v>
                </c:pt>
                <c:pt idx="4">
                  <c:v>4000</c:v>
                </c:pt>
                <c:pt idx="5">
                  <c:v>3928.57142857143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86d934-ed99-467f-9c96-3e35767e76d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Time To Failure (MTTF)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Mean Time To Failure (MTTF)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Sheet1!$N$2:$N$7</c:f>
              <c:numCache>
                <c:formatCode>0.00</c:formatCode>
                <c:ptCount val="6"/>
                <c:pt idx="0">
                  <c:v>6.25</c:v>
                </c:pt>
                <c:pt idx="1">
                  <c:v>6.15384615384615</c:v>
                </c:pt>
                <c:pt idx="2">
                  <c:v>6</c:v>
                </c:pt>
                <c:pt idx="3">
                  <c:v>5.55555555555556</c:v>
                </c:pt>
                <c:pt idx="4">
                  <c:v>5.71428571428571</c:v>
                </c:pt>
                <c:pt idx="5">
                  <c:v>5.45454545454545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972901646"/>
        <c:axId val="820843248"/>
      </c:lineChart>
      <c:catAx>
        <c:axId val="97290164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0843248"/>
        <c:crosses val="autoZero"/>
        <c:auto val="1"/>
        <c:lblAlgn val="ctr"/>
        <c:lblOffset val="100"/>
        <c:noMultiLvlLbl val="0"/>
      </c:catAx>
      <c:valAx>
        <c:axId val="8208432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Time To Failure (MTTF)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7290164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b72029-3920-443e-abb9-d174dc297e9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952500</xdr:colOff>
      <xdr:row>13</xdr:row>
      <xdr:rowOff>9525</xdr:rowOff>
    </xdr:from>
    <xdr:ext cx="3867150" cy="2400300"/>
    <xdr:graphicFrame>
      <xdr:nvGraphicFramePr>
        <xdr:cNvPr id="2" name="Chart 1" title="Chart"/>
        <xdr:cNvGraphicFramePr/>
      </xdr:nvGraphicFramePr>
      <xdr:xfrm>
        <a:off x="3960495" y="2790825"/>
        <a:ext cx="386715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285750</xdr:colOff>
      <xdr:row>13</xdr:row>
      <xdr:rowOff>9525</xdr:rowOff>
    </xdr:from>
    <xdr:ext cx="3867150" cy="2400300"/>
    <xdr:graphicFrame>
      <xdr:nvGraphicFramePr>
        <xdr:cNvPr id="3" name="Chart 2" title="Chart"/>
        <xdr:cNvGraphicFramePr/>
      </xdr:nvGraphicFramePr>
      <xdr:xfrm>
        <a:off x="8138795" y="2790825"/>
        <a:ext cx="386715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555625</xdr:colOff>
      <xdr:row>13</xdr:row>
      <xdr:rowOff>73025</xdr:rowOff>
    </xdr:from>
    <xdr:ext cx="3867150" cy="2400300"/>
    <xdr:graphicFrame>
      <xdr:nvGraphicFramePr>
        <xdr:cNvPr id="4" name="Chart 3" title="Chart"/>
        <xdr:cNvGraphicFramePr/>
      </xdr:nvGraphicFramePr>
      <xdr:xfrm>
        <a:off x="12375515" y="2854325"/>
        <a:ext cx="386715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2"/>
  <sheetViews>
    <sheetView tabSelected="1" workbookViewId="0">
      <selection activeCell="K30" sqref="K30"/>
    </sheetView>
  </sheetViews>
  <sheetFormatPr defaultColWidth="12.6272727272727" defaultRowHeight="15.75" customHeight="1"/>
  <cols>
    <col min="1" max="1" width="18.8181818181818" customWidth="1"/>
    <col min="5" max="5" width="18.4545454545455" customWidth="1"/>
    <col min="6" max="7" width="18.6363636363636" customWidth="1"/>
    <col min="8" max="8" width="18.9090909090909" customWidth="1"/>
    <col min="13" max="13" width="19" customWidth="1"/>
    <col min="14" max="14" width="19.5454545454545" customWidth="1"/>
    <col min="15" max="15" width="22.4545454545455" customWidth="1"/>
    <col min="16" max="16" width="23.5454545454545" customWidth="1"/>
    <col min="17" max="17" width="22.5" customWidth="1"/>
    <col min="18" max="18" width="25.3818181818182" customWidth="1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spans="1:18">
      <c r="A2" s="2" t="s">
        <v>17</v>
      </c>
      <c r="B2" s="2">
        <v>900</v>
      </c>
      <c r="C2" s="2">
        <v>800</v>
      </c>
      <c r="D2" s="2">
        <v>12</v>
      </c>
      <c r="E2" s="2">
        <v>5</v>
      </c>
      <c r="F2" s="2">
        <v>45</v>
      </c>
      <c r="G2" s="2">
        <v>15</v>
      </c>
      <c r="H2" s="2">
        <v>13</v>
      </c>
      <c r="I2" s="2">
        <v>6</v>
      </c>
      <c r="K2" s="5">
        <v>13</v>
      </c>
      <c r="L2" s="5">
        <v>2</v>
      </c>
      <c r="M2" s="6">
        <f>D2/(B2/1000)</f>
        <v>13.3333333333333</v>
      </c>
      <c r="N2" s="6">
        <f>E2/(C2/1000)</f>
        <v>6.25</v>
      </c>
      <c r="O2" s="6">
        <f>F2/(D2/1000)</f>
        <v>3750</v>
      </c>
      <c r="P2" s="6">
        <f>G2/(E2/1000)</f>
        <v>3000</v>
      </c>
      <c r="Q2" s="6">
        <f>H2/(F2/1000)</f>
        <v>288.888888888889</v>
      </c>
      <c r="R2" s="6">
        <f>I2/(G2/1000)</f>
        <v>400</v>
      </c>
    </row>
    <row r="3" customHeight="1" spans="1:18">
      <c r="A3" s="2" t="s">
        <v>18</v>
      </c>
      <c r="B3" s="2">
        <v>1500</v>
      </c>
      <c r="C3" s="2">
        <v>1300</v>
      </c>
      <c r="D3" s="2">
        <v>20</v>
      </c>
      <c r="E3" s="2">
        <v>8</v>
      </c>
      <c r="F3" s="2">
        <v>60</v>
      </c>
      <c r="G3" s="2">
        <v>25</v>
      </c>
      <c r="H3" s="2">
        <v>22</v>
      </c>
      <c r="I3" s="2">
        <v>10</v>
      </c>
      <c r="K3" s="5">
        <v>22</v>
      </c>
      <c r="L3" s="5">
        <v>3</v>
      </c>
      <c r="M3" s="6">
        <f>D3/(B3/1000)</f>
        <v>13.3333333333333</v>
      </c>
      <c r="N3" s="6">
        <f>E3/(C3/1000)</f>
        <v>6.15384615384615</v>
      </c>
      <c r="O3" s="6">
        <f>F3/(D3/1000)</f>
        <v>3000</v>
      </c>
      <c r="P3" s="6">
        <f>G3/(E3/1000)</f>
        <v>3125</v>
      </c>
      <c r="Q3" s="6">
        <f>H3/(F3/1000)</f>
        <v>366.666666666667</v>
      </c>
      <c r="R3" s="6">
        <f>I3/(G3/1000)</f>
        <v>400</v>
      </c>
    </row>
    <row r="4" customHeight="1" spans="1:18">
      <c r="A4" s="2" t="s">
        <v>19</v>
      </c>
      <c r="B4" s="2">
        <v>1100</v>
      </c>
      <c r="C4" s="2">
        <v>1000</v>
      </c>
      <c r="D4" s="2">
        <v>15</v>
      </c>
      <c r="E4" s="2">
        <v>6</v>
      </c>
      <c r="F4" s="2">
        <v>50</v>
      </c>
      <c r="G4" s="2">
        <v>18</v>
      </c>
      <c r="H4" s="2">
        <v>16</v>
      </c>
      <c r="I4" s="2">
        <v>8</v>
      </c>
      <c r="K4" s="5">
        <v>16</v>
      </c>
      <c r="L4" s="5">
        <v>2</v>
      </c>
      <c r="M4" s="6">
        <f>D4/(B4/1000)</f>
        <v>13.6363636363636</v>
      </c>
      <c r="N4" s="6">
        <f>E4/(C4/1000)</f>
        <v>6</v>
      </c>
      <c r="O4" s="6">
        <f>F4/(D4/1000)</f>
        <v>3333.33333333333</v>
      </c>
      <c r="P4" s="6">
        <f>G4/(E4/1000)</f>
        <v>3000</v>
      </c>
      <c r="Q4" s="6">
        <f>H4/(F4/1000)</f>
        <v>320</v>
      </c>
      <c r="R4" s="6">
        <f>I4/(G4/1000)</f>
        <v>444.444444444444</v>
      </c>
    </row>
    <row r="5" customHeight="1" spans="1:18">
      <c r="A5" s="2" t="s">
        <v>20</v>
      </c>
      <c r="B5" s="2">
        <v>1000</v>
      </c>
      <c r="C5" s="2">
        <v>900</v>
      </c>
      <c r="D5" s="2">
        <v>13</v>
      </c>
      <c r="E5" s="2">
        <v>5</v>
      </c>
      <c r="F5" s="2">
        <v>48</v>
      </c>
      <c r="G5" s="2">
        <v>16</v>
      </c>
      <c r="H5" s="2">
        <v>14</v>
      </c>
      <c r="I5" s="2">
        <v>7</v>
      </c>
      <c r="K5" s="5">
        <v>14</v>
      </c>
      <c r="L5" s="5">
        <v>2</v>
      </c>
      <c r="M5" s="6">
        <f>D5/(B5/1000)</f>
        <v>13</v>
      </c>
      <c r="N5" s="6">
        <f>E5/(C5/1000)</f>
        <v>5.55555555555556</v>
      </c>
      <c r="O5" s="6">
        <f>F5/(D5/1000)</f>
        <v>3692.30769230769</v>
      </c>
      <c r="P5" s="6">
        <f>G5/(E5/1000)</f>
        <v>3200</v>
      </c>
      <c r="Q5" s="6">
        <f>H5/(F5/1000)</f>
        <v>291.666666666667</v>
      </c>
      <c r="R5" s="6">
        <f>I5/(G5/1000)</f>
        <v>437.5</v>
      </c>
    </row>
    <row r="6" customHeight="1" spans="1:18">
      <c r="A6" s="2" t="s">
        <v>21</v>
      </c>
      <c r="B6" s="2">
        <v>800</v>
      </c>
      <c r="C6" s="2">
        <v>700</v>
      </c>
      <c r="D6" s="2">
        <v>10</v>
      </c>
      <c r="E6" s="2">
        <v>4</v>
      </c>
      <c r="F6" s="2">
        <v>40</v>
      </c>
      <c r="G6" s="2">
        <v>12</v>
      </c>
      <c r="H6" s="2">
        <v>11</v>
      </c>
      <c r="I6" s="2">
        <v>5</v>
      </c>
      <c r="K6" s="5">
        <v>11</v>
      </c>
      <c r="L6" s="5">
        <v>1</v>
      </c>
      <c r="M6" s="6">
        <f>D6/(B6/1000)</f>
        <v>12.5</v>
      </c>
      <c r="N6" s="6">
        <f>E6/(C6/1000)</f>
        <v>5.71428571428571</v>
      </c>
      <c r="O6" s="6">
        <f>F6/(D6/1000)</f>
        <v>4000</v>
      </c>
      <c r="P6" s="6">
        <f>G6/(E6/1000)</f>
        <v>3000</v>
      </c>
      <c r="Q6" s="6">
        <f>H6/(F6/1000)</f>
        <v>275</v>
      </c>
      <c r="R6" s="6">
        <f>I6/(G6/1000)</f>
        <v>416.666666666667</v>
      </c>
    </row>
    <row r="7" customHeight="1" spans="1:18">
      <c r="A7" s="2" t="s">
        <v>22</v>
      </c>
      <c r="B7" s="2">
        <v>1200</v>
      </c>
      <c r="C7" s="2">
        <v>1100</v>
      </c>
      <c r="D7" s="2">
        <v>14</v>
      </c>
      <c r="E7" s="2">
        <v>6</v>
      </c>
      <c r="F7" s="2">
        <v>55</v>
      </c>
      <c r="G7" s="2">
        <v>17</v>
      </c>
      <c r="H7" s="2">
        <v>15</v>
      </c>
      <c r="I7" s="2">
        <v>9</v>
      </c>
      <c r="K7" s="5">
        <v>15</v>
      </c>
      <c r="L7" s="5">
        <v>2</v>
      </c>
      <c r="M7" s="6">
        <f>D7/(B7/1000)</f>
        <v>11.6666666666667</v>
      </c>
      <c r="N7" s="6">
        <f>E7/(C7/1000)</f>
        <v>5.45454545454545</v>
      </c>
      <c r="O7" s="6">
        <f>F7/(D7/1000)</f>
        <v>3928.57142857143</v>
      </c>
      <c r="P7" s="6">
        <f>G7/(E7/1000)</f>
        <v>2833.33333333333</v>
      </c>
      <c r="Q7" s="6">
        <f>H7/(F7/1000)</f>
        <v>272.727272727273</v>
      </c>
      <c r="R7" s="6">
        <f>I7/(G7/1000)</f>
        <v>529.411764705882</v>
      </c>
    </row>
    <row r="12" ht="30" customHeight="1" spans="5:5">
      <c r="E12" s="3" t="s">
        <v>23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GIFT</cp:lastModifiedBy>
  <dcterms:created xsi:type="dcterms:W3CDTF">2026-04-18T15:38:03Z</dcterms:created>
  <dcterms:modified xsi:type="dcterms:W3CDTF">2026-04-18T15:50:43Z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6B551038961547A486A6A5E9AA07332F_12</vt:lpwstr>
  </property>
  <property fmtid="{D5CDD505-2E9C-101B-9397-08002B2CF9AE}" pid="3" name="KSOProductBuildVer">
    <vt:lpwstr>1033-12.2.0.23196</vt:lpwstr>
  </property>
</Properties>
</file>